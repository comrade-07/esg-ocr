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 PC\Desktop\snl-esg-ocr\mappings\"/>
    </mc:Choice>
  </mc:AlternateContent>
  <xr:revisionPtr revIDLastSave="0" documentId="13_ncr:1_{0DE7021A-1288-4623-B38F-4F6B21311A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racts" sheetId="1" r:id="rId1"/>
    <sheet name="_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" i="1" l="1"/>
</calcChain>
</file>

<file path=xl/sharedStrings.xml><?xml version="1.0" encoding="utf-8"?>
<sst xmlns="http://schemas.openxmlformats.org/spreadsheetml/2006/main" count="186" uniqueCount="73">
  <si>
    <t>lookup_key</t>
  </si>
  <si>
    <t>active</t>
  </si>
  <si>
    <t>division</t>
  </si>
  <si>
    <t>legal_entity</t>
  </si>
  <si>
    <t>unit_name</t>
  </si>
  <si>
    <t>supplier_name</t>
  </si>
  <si>
    <t>contract_start_date</t>
  </si>
  <si>
    <t>contract_end_date</t>
  </si>
  <si>
    <t>contractual_instruments</t>
  </si>
  <si>
    <t>bundle_or_unbundle</t>
  </si>
  <si>
    <t>energy_source</t>
  </si>
  <si>
    <t>energy_type</t>
  </si>
  <si>
    <t>energy_unit</t>
  </si>
  <si>
    <t>co2e</t>
  </si>
  <si>
    <t>co2e_unit</t>
  </si>
  <si>
    <t>ch4</t>
  </si>
  <si>
    <t>ch4_unit</t>
  </si>
  <si>
    <t>co2</t>
  </si>
  <si>
    <t>co2_unit</t>
  </si>
  <si>
    <t>hfcs</t>
  </si>
  <si>
    <t>hfcs_unit</t>
  </si>
  <si>
    <t>n2o</t>
  </si>
  <si>
    <t>n2o_unit</t>
  </si>
  <si>
    <t>nf3</t>
  </si>
  <si>
    <t>nf3_unit</t>
  </si>
  <si>
    <t>pfcs</t>
  </si>
  <si>
    <t>pfcs_unit</t>
  </si>
  <si>
    <t>sf6</t>
  </si>
  <si>
    <t>sf6_unit</t>
  </si>
  <si>
    <t>otherghgs</t>
  </si>
  <si>
    <t>otherghgs_unit</t>
  </si>
  <si>
    <t>source</t>
  </si>
  <si>
    <t>created_by</t>
  </si>
  <si>
    <t>reviewed_by</t>
  </si>
  <si>
    <t>notes</t>
  </si>
  <si>
    <t>Yes</t>
  </si>
  <si>
    <t>Unbundled</t>
  </si>
  <si>
    <t>Mix-renewable</t>
  </si>
  <si>
    <t>Electricity</t>
  </si>
  <si>
    <t>kWh</t>
  </si>
  <si>
    <t>kg</t>
  </si>
  <si>
    <t>Workbook</t>
  </si>
  <si>
    <t>Purpose</t>
  </si>
  <si>
    <t>Python lookup key</t>
  </si>
  <si>
    <t>Update notes</t>
  </si>
  <si>
    <t>contracts</t>
  </si>
  <si>
    <t>Editable reference table used by OCR-to-gold enrichment.</t>
  </si>
  <si>
    <t>unit_name_supplier_name_contract_start_date</t>
  </si>
  <si>
    <t>Edit rows in the main table. Keep lookup_key formulas intact or copy the formula down for new rows.</t>
  </si>
  <si>
    <t>Seafarm</t>
  </si>
  <si>
    <t>Stolt_Sea_Farm_S.A.</t>
  </si>
  <si>
    <t>Quilmas</t>
  </si>
  <si>
    <t>ENDESA ENERGÍA, S.A.U.</t>
  </si>
  <si>
    <t>Cervo</t>
  </si>
  <si>
    <t>Couso</t>
  </si>
  <si>
    <t>No contractual instrument  - Supplier/Utility emission rates available</t>
  </si>
  <si>
    <t>Stolthaven</t>
  </si>
  <si>
    <t>Stolthaven_New_Orleans_L.L.C.</t>
  </si>
  <si>
    <t>New Orleans</t>
  </si>
  <si>
    <t>ENTERGY LOUISIANA LLC</t>
  </si>
  <si>
    <t>Stolt_Nielsen_USA_Inc._Corporate</t>
  </si>
  <si>
    <t>Houston (Corporate)</t>
  </si>
  <si>
    <t>Corporate</t>
  </si>
  <si>
    <t>CONSTELLATION</t>
  </si>
  <si>
    <t>Stolt_Nielsen_Middle_East_FZCO_Corporate</t>
  </si>
  <si>
    <t>Dubai (Corporate)</t>
  </si>
  <si>
    <t>DUBAI ELECTRICITY &amp; WATER AUTHORITY</t>
  </si>
  <si>
    <t>Stolt_Nielsen_Norway_AS</t>
  </si>
  <si>
    <t>Oslo (Corporate)</t>
  </si>
  <si>
    <t>FJORDKRAFT BEDRIFT</t>
  </si>
  <si>
    <t>Stolt_Sea_Farm_Turbot_Norway_AS</t>
  </si>
  <si>
    <t>Oye</t>
  </si>
  <si>
    <t>ERAMET NORWAY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</si>
</sst>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color rgb="FF52616B"/>
      <name val="Carlito"/>
    </font>
    <font>
      <sz val="11"/>
      <color rgb="FF1F293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ctsTable" displayName="ContractsTable" ref="A1:AI26">
  <tableColumns count="35">
    <tableColumn id="1" xr3:uid="{00000000-0010-0000-0000-000001000000}" name="lookup_key">
      <calculatedColumnFormula>IF(COUNTA(E2,F2,G2)=0,"",LOWER(TRIM(E2&amp;""))&amp;"_"&amp;LOWER(TRIM(F2&amp;""))&amp;"_"&amp;TEXT(G2,"0"))</calculatedColumnFormula>
    </tableColumn>
    <tableColumn id="2" xr3:uid="{00000000-0010-0000-0000-000002000000}" name="active"/>
    <tableColumn id="3" xr3:uid="{00000000-0010-0000-0000-000003000000}" name="division"/>
    <tableColumn id="4" xr3:uid="{00000000-0010-0000-0000-000004000000}" name="legal_entity"/>
    <tableColumn id="5" xr3:uid="{00000000-0010-0000-0000-000005000000}" name="unit_name"/>
    <tableColumn id="6" xr3:uid="{00000000-0010-0000-0000-000006000000}" name="supplier_name"/>
    <tableColumn id="7" xr3:uid="{00000000-0010-0000-0000-000007000000}" name="contract_start_date"/>
    <tableColumn id="8" xr3:uid="{00000000-0010-0000-0000-000008000000}" name="contract_end_date"/>
    <tableColumn id="9" xr3:uid="{00000000-0010-0000-0000-000009000000}" name="contractual_instruments"/>
    <tableColumn id="10" xr3:uid="{00000000-0010-0000-0000-00000A000000}" name="bundle_or_unbundle"/>
    <tableColumn id="11" xr3:uid="{00000000-0010-0000-0000-00000B000000}" name="energy_source"/>
    <tableColumn id="12" xr3:uid="{00000000-0010-0000-0000-00000C000000}" name="energy_type"/>
    <tableColumn id="13" xr3:uid="{00000000-0010-0000-0000-00000D000000}" name="energy_unit"/>
    <tableColumn id="14" xr3:uid="{00000000-0010-0000-0000-00000E000000}" name="co2e"/>
    <tableColumn id="15" xr3:uid="{00000000-0010-0000-0000-00000F000000}" name="co2e_unit"/>
    <tableColumn id="16" xr3:uid="{00000000-0010-0000-0000-000010000000}" name="ch4"/>
    <tableColumn id="17" xr3:uid="{00000000-0010-0000-0000-000011000000}" name="ch4_unit"/>
    <tableColumn id="18" xr3:uid="{00000000-0010-0000-0000-000012000000}" name="co2"/>
    <tableColumn id="19" xr3:uid="{00000000-0010-0000-0000-000013000000}" name="co2_unit"/>
    <tableColumn id="20" xr3:uid="{00000000-0010-0000-0000-000014000000}" name="hfcs"/>
    <tableColumn id="21" xr3:uid="{00000000-0010-0000-0000-000015000000}" name="hfcs_unit"/>
    <tableColumn id="22" xr3:uid="{00000000-0010-0000-0000-000016000000}" name="n2o"/>
    <tableColumn id="23" xr3:uid="{00000000-0010-0000-0000-000017000000}" name="n2o_unit"/>
    <tableColumn id="24" xr3:uid="{00000000-0010-0000-0000-000018000000}" name="nf3"/>
    <tableColumn id="25" xr3:uid="{00000000-0010-0000-0000-000019000000}" name="nf3_unit"/>
    <tableColumn id="26" xr3:uid="{00000000-0010-0000-0000-00001A000000}" name="pfcs"/>
    <tableColumn id="27" xr3:uid="{00000000-0010-0000-0000-00001B000000}" name="pfcs_unit"/>
    <tableColumn id="28" xr3:uid="{00000000-0010-0000-0000-00001C000000}" name="sf6"/>
    <tableColumn id="29" xr3:uid="{00000000-0010-0000-0000-00001D000000}" name="sf6_unit"/>
    <tableColumn id="30" xr3:uid="{00000000-0010-0000-0000-00001E000000}" name="otherghgs"/>
    <tableColumn id="31" xr3:uid="{00000000-0010-0000-0000-00001F000000}" name="otherghgs_unit"/>
    <tableColumn id="32" xr3:uid="{00000000-0010-0000-0000-000020000000}" name="source"/>
    <tableColumn id="33" xr3:uid="{00000000-0010-0000-0000-000021000000}" name="created_by"/>
    <tableColumn id="34" xr3:uid="{00000000-0010-0000-0000-000022000000}" name="reviewed_by"/>
    <tableColumn id="35" xr3:uid="{00000000-0010-0000-0000-00002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"/>
  <sheetViews>
    <sheetView showGridLines="0" tabSelected="1" topLeftCell="I8" workbookViewId="0">
      <selection activeCell="H14" sqref="H14:M14"/>
    </sheetView>
  </sheetViews>
  <sheetFormatPr defaultRowHeight="14.25"/>
  <cols>
    <col min="1" max="1" width="82" customWidth="1"/>
    <col min="2" max="2" width="11" customWidth="1"/>
    <col min="3" max="3" width="18" customWidth="1"/>
    <col min="4" max="4" width="34" customWidth="1"/>
    <col min="5" max="5" width="24" customWidth="1"/>
    <col min="6" max="6" width="34" customWidth="1"/>
    <col min="7" max="8" width="18" customWidth="1"/>
    <col min="9" max="9" width="28" customWidth="1"/>
    <col min="10" max="10" width="20" customWidth="1"/>
    <col min="11" max="11" width="18" customWidth="1"/>
    <col min="12" max="12" width="16" customWidth="1"/>
    <col min="13" max="13" width="14" customWidth="1"/>
    <col min="14" max="29" width="12" customWidth="1"/>
    <col min="30" max="30" width="14" customWidth="1"/>
    <col min="31" max="31" width="16" customWidth="1"/>
    <col min="32" max="32" width="26" customWidth="1"/>
    <col min="33" max="34" width="16" customWidth="1"/>
    <col min="35" max="35" width="34" customWidth="1"/>
  </cols>
  <sheetData>
    <row r="1" spans="1:35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ht="42.75">
      <c r="A2" s="3" t="str">
        <f t="shared" ref="A2:A26" si="0">IF(COUNTA(E2,F2,G2)=0,"",LOWER(TRIM(E2&amp;""))&amp;"_"&amp;LOWER(TRIM(F2&amp;""))&amp;"_"&amp;TEXT(G2,"0"))</f>
        <v>cervo_endesa energía, s.a.u._45627</v>
      </c>
      <c r="B2" s="4" t="s">
        <v>35</v>
      </c>
      <c r="C2" s="4" t="s">
        <v>49</v>
      </c>
      <c r="D2" s="4" t="s">
        <v>50</v>
      </c>
      <c r="E2" s="4" t="s">
        <v>53</v>
      </c>
      <c r="F2" s="4" t="s">
        <v>52</v>
      </c>
      <c r="G2" s="5">
        <v>45627</v>
      </c>
      <c r="H2" s="5">
        <v>45930</v>
      </c>
      <c r="I2" s="4" t="s">
        <v>55</v>
      </c>
      <c r="J2" s="4" t="s">
        <v>36</v>
      </c>
      <c r="K2" s="4" t="s">
        <v>37</v>
      </c>
      <c r="L2" s="4" t="s">
        <v>38</v>
      </c>
      <c r="M2" s="4" t="s">
        <v>39</v>
      </c>
      <c r="N2" s="4">
        <v>0</v>
      </c>
      <c r="O2" s="4" t="s">
        <v>40</v>
      </c>
      <c r="P2" s="4">
        <v>0</v>
      </c>
      <c r="Q2" s="4" t="s">
        <v>40</v>
      </c>
      <c r="R2" s="4">
        <v>0</v>
      </c>
      <c r="S2" s="4" t="s">
        <v>40</v>
      </c>
      <c r="T2" s="4"/>
      <c r="U2" s="4"/>
      <c r="V2" s="4">
        <v>0</v>
      </c>
      <c r="W2" s="4" t="s">
        <v>40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42.75">
      <c r="A3" s="3" t="str">
        <f t="shared" si="0"/>
        <v>couso_endesa energía, s.a.u._45627</v>
      </c>
      <c r="B3" s="4" t="s">
        <v>35</v>
      </c>
      <c r="C3" s="4" t="s">
        <v>49</v>
      </c>
      <c r="D3" s="4" t="s">
        <v>50</v>
      </c>
      <c r="E3" s="4" t="s">
        <v>54</v>
      </c>
      <c r="F3" s="4" t="s">
        <v>52</v>
      </c>
      <c r="G3" s="5">
        <v>45627</v>
      </c>
      <c r="H3" s="5">
        <v>45930</v>
      </c>
      <c r="I3" s="4" t="s">
        <v>55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0</v>
      </c>
      <c r="O3" s="4" t="s">
        <v>40</v>
      </c>
      <c r="P3" s="4">
        <v>0</v>
      </c>
      <c r="Q3" s="4" t="s">
        <v>40</v>
      </c>
      <c r="R3" s="4">
        <v>0</v>
      </c>
      <c r="S3" s="4" t="s">
        <v>40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42.75">
      <c r="A4" s="3" t="str">
        <f t="shared" si="0"/>
        <v>quilmas_endesa energía, s.a.u._45627</v>
      </c>
      <c r="B4" s="4" t="s">
        <v>35</v>
      </c>
      <c r="C4" s="4" t="s">
        <v>49</v>
      </c>
      <c r="D4" s="4" t="s">
        <v>50</v>
      </c>
      <c r="E4" s="4" t="s">
        <v>51</v>
      </c>
      <c r="F4" s="4" t="s">
        <v>52</v>
      </c>
      <c r="G4" s="5">
        <v>45627</v>
      </c>
      <c r="H4" s="5">
        <v>45930</v>
      </c>
      <c r="I4" s="4" t="s">
        <v>55</v>
      </c>
      <c r="J4" s="4" t="s">
        <v>36</v>
      </c>
      <c r="K4" s="4" t="s">
        <v>37</v>
      </c>
      <c r="L4" s="4" t="s">
        <v>38</v>
      </c>
      <c r="M4" s="4" t="s">
        <v>39</v>
      </c>
      <c r="N4" s="4">
        <v>0</v>
      </c>
      <c r="O4" s="4" t="s">
        <v>40</v>
      </c>
      <c r="P4" s="4">
        <v>0</v>
      </c>
      <c r="Q4" s="4" t="s">
        <v>40</v>
      </c>
      <c r="R4" s="4">
        <v>0</v>
      </c>
      <c r="S4" s="4" t="s">
        <v>40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42.75">
      <c r="A5" s="3" t="str">
        <f t="shared" si="0"/>
        <v>new orleans_entergy louisiana llc_45748</v>
      </c>
      <c r="B5" s="4" t="s">
        <v>35</v>
      </c>
      <c r="C5" s="4" t="s">
        <v>56</v>
      </c>
      <c r="D5" s="4" t="s">
        <v>57</v>
      </c>
      <c r="E5" s="4" t="s">
        <v>58</v>
      </c>
      <c r="F5" t="s">
        <v>59</v>
      </c>
      <c r="G5" s="5">
        <v>45748</v>
      </c>
      <c r="H5" s="5">
        <v>45930</v>
      </c>
      <c r="I5" s="4" t="s">
        <v>55</v>
      </c>
      <c r="J5" s="4" t="s">
        <v>36</v>
      </c>
      <c r="K5" s="4" t="s">
        <v>37</v>
      </c>
      <c r="L5" s="4" t="s">
        <v>38</v>
      </c>
      <c r="M5" s="4" t="s">
        <v>39</v>
      </c>
      <c r="N5" s="4">
        <v>0</v>
      </c>
      <c r="O5" s="4" t="s">
        <v>40</v>
      </c>
      <c r="P5" s="4">
        <v>0</v>
      </c>
      <c r="Q5" s="4" t="s">
        <v>40</v>
      </c>
      <c r="R5" s="4">
        <v>0</v>
      </c>
      <c r="S5" s="4" t="s">
        <v>40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42.75">
      <c r="A6" s="3" t="str">
        <f t="shared" si="0"/>
        <v>houston (corporate)_constellation_45627</v>
      </c>
      <c r="B6" s="4" t="s">
        <v>35</v>
      </c>
      <c r="C6" s="4" t="s">
        <v>62</v>
      </c>
      <c r="D6" s="4" t="s">
        <v>60</v>
      </c>
      <c r="E6" s="4" t="s">
        <v>61</v>
      </c>
      <c r="F6" s="4" t="s">
        <v>63</v>
      </c>
      <c r="G6" s="5">
        <v>45627</v>
      </c>
      <c r="H6" s="5">
        <v>45930</v>
      </c>
      <c r="I6" s="4" t="s">
        <v>55</v>
      </c>
      <c r="J6" s="4" t="s">
        <v>36</v>
      </c>
      <c r="K6" s="4" t="s">
        <v>37</v>
      </c>
      <c r="L6" s="4" t="s">
        <v>38</v>
      </c>
      <c r="M6" s="4" t="s">
        <v>39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42.75">
      <c r="A7" s="3" t="str">
        <f t="shared" si="0"/>
        <v>dubai (corporate)_dubai electricity &amp; water authority_45627</v>
      </c>
      <c r="B7" s="4" t="s">
        <v>35</v>
      </c>
      <c r="C7" s="4" t="s">
        <v>62</v>
      </c>
      <c r="D7" s="4" t="s">
        <v>64</v>
      </c>
      <c r="E7" s="4" t="s">
        <v>65</v>
      </c>
      <c r="F7" t="s">
        <v>66</v>
      </c>
      <c r="G7" s="5">
        <v>45627</v>
      </c>
      <c r="H7" s="5">
        <v>45930</v>
      </c>
      <c r="I7" s="4" t="s">
        <v>55</v>
      </c>
      <c r="J7" s="4" t="s">
        <v>36</v>
      </c>
      <c r="K7" s="4" t="s">
        <v>37</v>
      </c>
      <c r="L7" s="4" t="s">
        <v>38</v>
      </c>
      <c r="M7" s="4" t="s">
        <v>39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42.75">
      <c r="A8" s="3" t="str">
        <f t="shared" si="0"/>
        <v>quilmas_endesa energía, s.a.u._45748</v>
      </c>
      <c r="B8" s="4" t="s">
        <v>35</v>
      </c>
      <c r="C8" s="4" t="s">
        <v>49</v>
      </c>
      <c r="D8" s="4" t="s">
        <v>50</v>
      </c>
      <c r="E8" s="4" t="s">
        <v>51</v>
      </c>
      <c r="F8" s="4" t="s">
        <v>52</v>
      </c>
      <c r="G8" s="5">
        <v>45748</v>
      </c>
      <c r="H8" s="5">
        <v>45930</v>
      </c>
      <c r="I8" s="4" t="s">
        <v>55</v>
      </c>
      <c r="J8" s="4" t="s">
        <v>36</v>
      </c>
      <c r="K8" s="4" t="s">
        <v>37</v>
      </c>
      <c r="L8" s="4" t="s">
        <v>38</v>
      </c>
      <c r="M8" s="4" t="s">
        <v>39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ht="42.75">
      <c r="A9" s="3" t="str">
        <f t="shared" si="0"/>
        <v>quilmas_endesa energía, s.a.u._45717</v>
      </c>
      <c r="B9" s="4" t="s">
        <v>35</v>
      </c>
      <c r="C9" s="4" t="s">
        <v>49</v>
      </c>
      <c r="D9" s="4" t="s">
        <v>50</v>
      </c>
      <c r="E9" s="4" t="s">
        <v>51</v>
      </c>
      <c r="F9" s="4" t="s">
        <v>52</v>
      </c>
      <c r="G9" s="5">
        <v>45717</v>
      </c>
      <c r="H9" s="5">
        <v>45930</v>
      </c>
      <c r="I9" s="4" t="s">
        <v>55</v>
      </c>
      <c r="J9" s="4" t="s">
        <v>36</v>
      </c>
      <c r="K9" s="4" t="s">
        <v>37</v>
      </c>
      <c r="L9" s="4" t="s">
        <v>38</v>
      </c>
      <c r="M9" s="4" t="s">
        <v>39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ht="42.75">
      <c r="A10" s="3" t="str">
        <f t="shared" si="0"/>
        <v>quilmas_endesa energía, s.a.u._45689</v>
      </c>
      <c r="B10" s="4" t="s">
        <v>35</v>
      </c>
      <c r="C10" s="4" t="s">
        <v>49</v>
      </c>
      <c r="D10" s="4" t="s">
        <v>50</v>
      </c>
      <c r="E10" s="4" t="s">
        <v>51</v>
      </c>
      <c r="F10" s="4" t="s">
        <v>52</v>
      </c>
      <c r="G10" s="5">
        <v>45689</v>
      </c>
      <c r="H10" s="5">
        <v>45930</v>
      </c>
      <c r="I10" s="4" t="s">
        <v>55</v>
      </c>
      <c r="J10" s="4" t="s">
        <v>36</v>
      </c>
      <c r="K10" s="4" t="s">
        <v>37</v>
      </c>
      <c r="L10" s="4" t="s">
        <v>38</v>
      </c>
      <c r="M10" s="4" t="s">
        <v>39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ht="42.75">
      <c r="A11" s="3" t="str">
        <f t="shared" si="0"/>
        <v>dubai (corporate)_dubai electricity &amp; water authority_45839</v>
      </c>
      <c r="B11" s="4" t="s">
        <v>35</v>
      </c>
      <c r="C11" s="4" t="s">
        <v>62</v>
      </c>
      <c r="D11" s="4" t="s">
        <v>64</v>
      </c>
      <c r="E11" s="4" t="s">
        <v>65</v>
      </c>
      <c r="F11" t="s">
        <v>66</v>
      </c>
      <c r="G11" s="5">
        <v>45839</v>
      </c>
      <c r="H11" s="5">
        <v>45930</v>
      </c>
      <c r="I11" s="4" t="s">
        <v>55</v>
      </c>
      <c r="J11" s="4" t="s">
        <v>36</v>
      </c>
      <c r="K11" s="4" t="s">
        <v>37</v>
      </c>
      <c r="L11" s="4" t="s">
        <v>38</v>
      </c>
      <c r="M11" s="4" t="s">
        <v>39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ht="42.75">
      <c r="A12" s="3" t="str">
        <f t="shared" si="0"/>
        <v>oslo (corporate)_fjordkraft bedrift_45839</v>
      </c>
      <c r="B12" s="4" t="s">
        <v>35</v>
      </c>
      <c r="C12" s="4" t="s">
        <v>62</v>
      </c>
      <c r="D12" s="4" t="s">
        <v>67</v>
      </c>
      <c r="E12" s="4" t="s">
        <v>68</v>
      </c>
      <c r="F12" s="4" t="s">
        <v>69</v>
      </c>
      <c r="G12" s="5">
        <v>45839</v>
      </c>
      <c r="H12" s="5">
        <v>45930</v>
      </c>
      <c r="I12" s="4" t="s">
        <v>55</v>
      </c>
      <c r="J12" s="4" t="s">
        <v>36</v>
      </c>
      <c r="K12" s="4" t="s">
        <v>37</v>
      </c>
      <c r="L12" s="4" t="s">
        <v>38</v>
      </c>
      <c r="M12" s="4" t="s">
        <v>39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ht="42.75">
      <c r="A13" s="3" t="str">
        <f t="shared" si="0"/>
        <v>oslo (corporate)_fjordkraft bedrift_45870</v>
      </c>
      <c r="B13" s="4" t="s">
        <v>35</v>
      </c>
      <c r="C13" s="4" t="s">
        <v>62</v>
      </c>
      <c r="D13" s="4" t="s">
        <v>67</v>
      </c>
      <c r="E13" s="4" t="s">
        <v>68</v>
      </c>
      <c r="F13" s="4" t="s">
        <v>69</v>
      </c>
      <c r="G13" s="5">
        <v>45870</v>
      </c>
      <c r="H13" s="5">
        <v>45930</v>
      </c>
      <c r="I13" s="4" t="s">
        <v>55</v>
      </c>
      <c r="J13" s="4" t="s">
        <v>36</v>
      </c>
      <c r="K13" s="4" t="s">
        <v>37</v>
      </c>
      <c r="L13" s="4" t="s">
        <v>38</v>
      </c>
      <c r="M13" s="4" t="s">
        <v>39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ht="42.75">
      <c r="A14" s="3" t="str">
        <f t="shared" si="0"/>
        <v>oye_eramet norway as_45931</v>
      </c>
      <c r="B14" s="4" t="s">
        <v>35</v>
      </c>
      <c r="C14" s="4" t="s">
        <v>49</v>
      </c>
      <c r="D14" s="4" t="s">
        <v>70</v>
      </c>
      <c r="E14" s="4" t="s">
        <v>71</v>
      </c>
      <c r="F14" s="4" t="s">
        <v>72</v>
      </c>
      <c r="G14" s="5">
        <v>45931</v>
      </c>
      <c r="H14" s="5">
        <v>45930</v>
      </c>
      <c r="I14" s="4" t="s">
        <v>55</v>
      </c>
      <c r="J14" s="4" t="s">
        <v>36</v>
      </c>
      <c r="K14" s="4" t="s">
        <v>37</v>
      </c>
      <c r="L14" s="4" t="s">
        <v>38</v>
      </c>
      <c r="M14" s="4" t="s">
        <v>39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>
      <c r="A15" s="3" t="str">
        <f t="shared" si="0"/>
        <v/>
      </c>
      <c r="B15" s="4"/>
      <c r="C15" s="4"/>
      <c r="D15" s="4"/>
      <c r="E15" s="4"/>
      <c r="F15" s="4"/>
      <c r="G15" s="5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>
      <c r="A16" s="3" t="str">
        <f t="shared" si="0"/>
        <v/>
      </c>
      <c r="B16" s="4"/>
      <c r="C16" s="4"/>
      <c r="D16" s="4"/>
      <c r="E16" s="4"/>
      <c r="F16" s="4"/>
      <c r="G16" s="5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>
      <c r="A17" s="3" t="str">
        <f t="shared" si="0"/>
        <v/>
      </c>
      <c r="B17" s="4"/>
      <c r="C17" s="4"/>
      <c r="D17" s="4"/>
      <c r="E17" s="4"/>
      <c r="F17" s="4"/>
      <c r="G17" s="5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>
      <c r="A18" s="3" t="str">
        <f t="shared" si="0"/>
        <v/>
      </c>
      <c r="B18" s="4"/>
      <c r="C18" s="4"/>
      <c r="D18" s="4"/>
      <c r="E18" s="4"/>
      <c r="F18" s="4"/>
      <c r="G18" s="5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>
      <c r="A19" s="3" t="str">
        <f t="shared" si="0"/>
        <v/>
      </c>
      <c r="B19" s="4"/>
      <c r="C19" s="4"/>
      <c r="D19" s="4"/>
      <c r="E19" s="4"/>
      <c r="F19" s="4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>
      <c r="A20" s="3" t="str">
        <f t="shared" si="0"/>
        <v/>
      </c>
      <c r="B20" s="4"/>
      <c r="C20" s="4"/>
      <c r="D20" s="4"/>
      <c r="E20" s="4"/>
      <c r="F20" s="4"/>
      <c r="G20" s="5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>
      <c r="A21" s="3" t="str">
        <f t="shared" si="0"/>
        <v/>
      </c>
      <c r="B21" s="4"/>
      <c r="C21" s="4"/>
      <c r="D21" s="4"/>
      <c r="E21" s="4"/>
      <c r="F21" s="4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>
      <c r="A22" s="3" t="str">
        <f t="shared" si="0"/>
        <v/>
      </c>
      <c r="B22" s="4"/>
      <c r="C22" s="4"/>
      <c r="D22" s="4"/>
      <c r="E22" s="4"/>
      <c r="F22" s="4"/>
      <c r="G22" s="5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A23" s="3" t="str">
        <f t="shared" si="0"/>
        <v/>
      </c>
      <c r="B23" s="4"/>
      <c r="C23" s="4"/>
      <c r="D23" s="4"/>
      <c r="E23" s="4"/>
      <c r="F23" s="4"/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>
      <c r="A24" s="3" t="str">
        <f t="shared" si="0"/>
        <v/>
      </c>
      <c r="B24" s="4"/>
      <c r="C24" s="4"/>
      <c r="D24" s="4"/>
      <c r="E24" s="4"/>
      <c r="F24" s="4"/>
      <c r="G24" s="5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>
      <c r="A25" s="3" t="str">
        <f t="shared" si="0"/>
        <v/>
      </c>
      <c r="B25" s="4"/>
      <c r="C25" s="4"/>
      <c r="D25" s="4"/>
      <c r="E25" s="4"/>
      <c r="F25" s="4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>
      <c r="A26" s="3" t="str">
        <f t="shared" si="0"/>
        <v/>
      </c>
      <c r="B26" s="4"/>
      <c r="C26" s="4"/>
      <c r="D26" s="4"/>
      <c r="E26" s="4"/>
      <c r="F26" s="4"/>
      <c r="G26" s="5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</sheetData>
  <dataValidations count="1">
    <dataValidation type="list" sqref="B2:B26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showGridLines="0" workbookViewId="0"/>
  </sheetViews>
  <sheetFormatPr defaultRowHeight="14.25"/>
  <cols>
    <col min="1" max="1" width="28" customWidth="1"/>
    <col min="2" max="2" width="46" customWidth="1"/>
    <col min="3" max="3" width="62" customWidth="1"/>
    <col min="4" max="4" width="68" customWidth="1"/>
  </cols>
  <sheetData>
    <row r="1" spans="1:4" ht="15">
      <c r="A1" s="1" t="s">
        <v>41</v>
      </c>
      <c r="B1" s="1" t="s">
        <v>42</v>
      </c>
      <c r="C1" s="1" t="s">
        <v>43</v>
      </c>
      <c r="D1" s="1" t="s">
        <v>44</v>
      </c>
    </row>
    <row r="2" spans="1:4" ht="28.5">
      <c r="A2" s="6" t="s">
        <v>45</v>
      </c>
      <c r="B2" s="6" t="s">
        <v>46</v>
      </c>
      <c r="C2" s="6" t="s">
        <v>47</v>
      </c>
      <c r="D2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contracts</vt:lpstr>
      <vt:lpstr>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Aquino</cp:lastModifiedBy>
  <dcterms:modified xsi:type="dcterms:W3CDTF">2026-06-30T05:25:33Z</dcterms:modified>
</cp:coreProperties>
</file>