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 PC\Desktop\snl-esg-ocr\mappings\"/>
    </mc:Choice>
  </mc:AlternateContent>
  <xr:revisionPtr revIDLastSave="0" documentId="13_ncr:1_{424E2839-2318-41FA-A534-C95093DE60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nergy_source_allocation" sheetId="1" r:id="rId1"/>
    <sheet name="_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 l="1"/>
</calcChain>
</file>

<file path=xl/sharedStrings.xml><?xml version="1.0" encoding="utf-8"?>
<sst xmlns="http://schemas.openxmlformats.org/spreadsheetml/2006/main" count="143" uniqueCount="55">
  <si>
    <t>lookup_key</t>
  </si>
  <si>
    <t>active</t>
  </si>
  <si>
    <t>division</t>
  </si>
  <si>
    <t>legal_entity</t>
  </si>
  <si>
    <t>unit_name</t>
  </si>
  <si>
    <t>facility_type</t>
  </si>
  <si>
    <t>supplier_name</t>
  </si>
  <si>
    <t>start_date</t>
  </si>
  <si>
    <t>scope</t>
  </si>
  <si>
    <t>activity_group</t>
  </si>
  <si>
    <t>unit</t>
  </si>
  <si>
    <t>fossil_fuel_%</t>
  </si>
  <si>
    <t>renewable_energy_%</t>
  </si>
  <si>
    <t>nuclear_%</t>
  </si>
  <si>
    <t>source</t>
  </si>
  <si>
    <t>created_by</t>
  </si>
  <si>
    <t>reviewed_by</t>
  </si>
  <si>
    <t>notes</t>
  </si>
  <si>
    <t>Yes</t>
  </si>
  <si>
    <t>Scope 2</t>
  </si>
  <si>
    <t>Electricity</t>
  </si>
  <si>
    <t>kWh</t>
  </si>
  <si>
    <t>Workbook</t>
  </si>
  <si>
    <t>Purpose</t>
  </si>
  <si>
    <t>Python lookup key</t>
  </si>
  <si>
    <t>Update notes</t>
  </si>
  <si>
    <t>energy_source_allocation</t>
  </si>
  <si>
    <t>Editable reference table used by OCR-to-gold enrichment.</t>
  </si>
  <si>
    <t>unit_name_supplier_name_start_date</t>
  </si>
  <si>
    <t>Edit rows in the main table. Keep lookup_key formulas intact or copy the formula down for new rows.</t>
  </si>
  <si>
    <t>Seafarm</t>
  </si>
  <si>
    <t>Stolt_Sea_Farm_S.A.</t>
  </si>
  <si>
    <t>Cervo</t>
  </si>
  <si>
    <t>Couso</t>
  </si>
  <si>
    <t>Quilmas</t>
  </si>
  <si>
    <t>ENDESA ENERGÍA, S.A.U.</t>
  </si>
  <si>
    <t>Stolthaven</t>
  </si>
  <si>
    <t>Stolthaven_New_Orleans_L.L.C.</t>
  </si>
  <si>
    <t>New Orleans</t>
  </si>
  <si>
    <t>Corporate</t>
  </si>
  <si>
    <t>Stolt_Nielsen_USA_Inc._Corporate</t>
  </si>
  <si>
    <t>Houston (Corporate)</t>
  </si>
  <si>
    <t>Terminal</t>
  </si>
  <si>
    <t>Office</t>
  </si>
  <si>
    <t>ENTERGY LOUISIANA LLC</t>
  </si>
  <si>
    <t>CONSTELLATION</t>
  </si>
  <si>
    <t>Stolt_Nielsen_Middle_East_FZCO_Corporate</t>
  </si>
  <si>
    <t>Dubai (Corporate)</t>
  </si>
  <si>
    <t>DUBAI ELECTRICITY &amp; WATER AUTHORITY</t>
  </si>
  <si>
    <t>Stolt_Nielsen_Norway_AS</t>
  </si>
  <si>
    <t>Oslo (Corporate)</t>
  </si>
  <si>
    <t>FJORDKRAFT BEDRIFT</t>
  </si>
  <si>
    <t>Stolt_Sea_Farm_Turbot_Norway_AS</t>
  </si>
  <si>
    <t>Oye</t>
  </si>
  <si>
    <t>ERAMET NORWAY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</si>
</sst>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>
    <font>
      <sz val="11"/>
      <name val="Carlito"/>
    </font>
    <font>
      <b/>
      <sz val="11"/>
      <color rgb="FFFFFFFF"/>
      <name val="Carlito"/>
    </font>
    <font>
      <sz val="11"/>
      <color rgb="FF52616B"/>
      <name val="Carlito"/>
    </font>
    <font>
      <sz val="11"/>
      <color rgb="FF1F293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ergySourceAllocationTable" displayName="EnergySourceAllocationTable" ref="A1:R25">
  <tableColumns count="18">
    <tableColumn id="1" xr3:uid="{00000000-0010-0000-0000-000001000000}" name="lookup_key">
      <calculatedColumnFormula>IF(COUNTA(E2,G2,H2)=0,"",LOWER(TRIM(E2&amp;""))&amp;"_"&amp;LOWER(TRIM(G2&amp;""))&amp;"_"&amp;TEXT(H2,"0"))</calculatedColumnFormula>
    </tableColumn>
    <tableColumn id="2" xr3:uid="{00000000-0010-0000-0000-000002000000}" name="active"/>
    <tableColumn id="3" xr3:uid="{00000000-0010-0000-0000-000003000000}" name="division"/>
    <tableColumn id="4" xr3:uid="{00000000-0010-0000-0000-000004000000}" name="legal_entity"/>
    <tableColumn id="5" xr3:uid="{00000000-0010-0000-0000-000005000000}" name="unit_name"/>
    <tableColumn id="6" xr3:uid="{00000000-0010-0000-0000-000006000000}" name="facility_type"/>
    <tableColumn id="7" xr3:uid="{00000000-0010-0000-0000-000007000000}" name="supplier_name"/>
    <tableColumn id="8" xr3:uid="{00000000-0010-0000-0000-000008000000}" name="start_date"/>
    <tableColumn id="9" xr3:uid="{00000000-0010-0000-0000-000009000000}" name="scope"/>
    <tableColumn id="10" xr3:uid="{00000000-0010-0000-0000-00000A000000}" name="activity_group"/>
    <tableColumn id="11" xr3:uid="{00000000-0010-0000-0000-00000B000000}" name="unit"/>
    <tableColumn id="12" xr3:uid="{00000000-0010-0000-0000-00000C000000}" name="fossil_fuel_%"/>
    <tableColumn id="13" xr3:uid="{00000000-0010-0000-0000-00000D000000}" name="renewable_energy_%"/>
    <tableColumn id="14" xr3:uid="{00000000-0010-0000-0000-00000E000000}" name="nuclear_%"/>
    <tableColumn id="15" xr3:uid="{00000000-0010-0000-0000-00000F000000}" name="source"/>
    <tableColumn id="16" xr3:uid="{00000000-0010-0000-0000-000010000000}" name="created_by"/>
    <tableColumn id="17" xr3:uid="{00000000-0010-0000-0000-000011000000}" name="reviewed_by"/>
    <tableColumn id="18" xr3:uid="{00000000-0010-0000-0000-000012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showGridLines="0" tabSelected="1" topLeftCell="F1" workbookViewId="0">
      <selection activeCell="I14" sqref="I14:N14"/>
    </sheetView>
  </sheetViews>
  <sheetFormatPr defaultRowHeight="14.25"/>
  <cols>
    <col min="1" max="1" width="70" customWidth="1"/>
    <col min="2" max="2" width="11" customWidth="1"/>
    <col min="3" max="3" width="18" customWidth="1"/>
    <col min="4" max="4" width="34" customWidth="1"/>
    <col min="5" max="5" width="24" customWidth="1"/>
    <col min="6" max="6" width="16" customWidth="1"/>
    <col min="7" max="7" width="34" customWidth="1"/>
    <col min="8" max="9" width="14" customWidth="1"/>
    <col min="10" max="10" width="18" customWidth="1"/>
    <col min="11" max="11" width="12" customWidth="1"/>
    <col min="12" max="12" width="16" customWidth="1"/>
    <col min="13" max="13" width="20" customWidth="1"/>
    <col min="14" max="14" width="14" customWidth="1"/>
    <col min="15" max="15" width="26" customWidth="1"/>
    <col min="16" max="17" width="16" customWidth="1"/>
    <col min="18" max="18" width="34" customWidth="1"/>
  </cols>
  <sheetData>
    <row r="1" spans="1:18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 t="str">
        <f t="shared" ref="A2:A25" si="0">IF(COUNTA(E2,G2,H2)=0,"",LOWER(TRIM(E2&amp;""))&amp;"_"&amp;LOWER(TRIM(G2&amp;""))&amp;"_"&amp;TEXT(H2,"0"))</f>
        <v>cervo_endesa energía, s.a.u._45627</v>
      </c>
      <c r="B2" s="4" t="s">
        <v>18</v>
      </c>
      <c r="C2" s="4" t="s">
        <v>30</v>
      </c>
      <c r="D2" s="4" t="s">
        <v>31</v>
      </c>
      <c r="E2" s="4" t="s">
        <v>32</v>
      </c>
      <c r="F2" s="4" t="s">
        <v>30</v>
      </c>
      <c r="G2" s="4" t="s">
        <v>35</v>
      </c>
      <c r="H2" s="5">
        <v>45627</v>
      </c>
      <c r="I2" s="4" t="s">
        <v>19</v>
      </c>
      <c r="J2" s="4" t="s">
        <v>20</v>
      </c>
      <c r="K2" s="4" t="s">
        <v>21</v>
      </c>
      <c r="L2" s="6">
        <v>0.29399999999999998</v>
      </c>
      <c r="M2" s="6">
        <v>0.50700000000000001</v>
      </c>
      <c r="N2" s="6">
        <v>0.19900000000000001</v>
      </c>
      <c r="O2" s="4"/>
      <c r="P2" s="4"/>
      <c r="Q2" s="4"/>
      <c r="R2" s="4"/>
    </row>
    <row r="3" spans="1:18">
      <c r="A3" s="3" t="str">
        <f t="shared" si="0"/>
        <v>couso_endesa energía, s.a.u._45627</v>
      </c>
      <c r="B3" s="4" t="s">
        <v>18</v>
      </c>
      <c r="C3" s="4" t="s">
        <v>30</v>
      </c>
      <c r="D3" s="4" t="s">
        <v>31</v>
      </c>
      <c r="E3" s="4" t="s">
        <v>33</v>
      </c>
      <c r="F3" s="4" t="s">
        <v>30</v>
      </c>
      <c r="G3" s="4" t="s">
        <v>35</v>
      </c>
      <c r="H3" s="5">
        <v>45627</v>
      </c>
      <c r="I3" s="4" t="s">
        <v>19</v>
      </c>
      <c r="J3" s="4" t="s">
        <v>20</v>
      </c>
      <c r="K3" s="4" t="s">
        <v>21</v>
      </c>
      <c r="L3" s="6">
        <v>0.29399999999999998</v>
      </c>
      <c r="M3" s="6">
        <v>0.50700000000000001</v>
      </c>
      <c r="N3" s="6">
        <v>0.19900000000000001</v>
      </c>
      <c r="O3" s="4"/>
      <c r="P3" s="4"/>
      <c r="Q3" s="4"/>
      <c r="R3" s="4"/>
    </row>
    <row r="4" spans="1:18">
      <c r="A4" s="3" t="str">
        <f t="shared" si="0"/>
        <v>quilmas_endesa energía, s.a.u._45627</v>
      </c>
      <c r="B4" s="4" t="s">
        <v>18</v>
      </c>
      <c r="C4" s="4" t="s">
        <v>30</v>
      </c>
      <c r="D4" s="4" t="s">
        <v>31</v>
      </c>
      <c r="E4" s="4" t="s">
        <v>34</v>
      </c>
      <c r="F4" s="4" t="s">
        <v>30</v>
      </c>
      <c r="G4" s="4" t="s">
        <v>35</v>
      </c>
      <c r="H4" s="5">
        <v>45627</v>
      </c>
      <c r="I4" s="4" t="s">
        <v>19</v>
      </c>
      <c r="J4" s="4" t="s">
        <v>20</v>
      </c>
      <c r="K4" s="4" t="s">
        <v>21</v>
      </c>
      <c r="L4" s="6">
        <v>0.29399999999999998</v>
      </c>
      <c r="M4" s="6">
        <v>0.50700000000000001</v>
      </c>
      <c r="N4" s="6">
        <v>0.19900000000000001</v>
      </c>
      <c r="O4" s="4"/>
      <c r="P4" s="4"/>
      <c r="Q4" s="4"/>
      <c r="R4" s="4"/>
    </row>
    <row r="5" spans="1:18">
      <c r="A5" s="3" t="str">
        <f t="shared" si="0"/>
        <v>new orleans_entergy louisiana llc_45748</v>
      </c>
      <c r="B5" s="4" t="s">
        <v>18</v>
      </c>
      <c r="C5" s="4" t="s">
        <v>36</v>
      </c>
      <c r="D5" s="4" t="s">
        <v>37</v>
      </c>
      <c r="E5" s="4" t="s">
        <v>38</v>
      </c>
      <c r="F5" s="4" t="s">
        <v>42</v>
      </c>
      <c r="G5" s="4" t="s">
        <v>44</v>
      </c>
      <c r="H5" s="5">
        <v>45748</v>
      </c>
      <c r="I5" s="4" t="s">
        <v>19</v>
      </c>
      <c r="J5" s="4" t="s">
        <v>20</v>
      </c>
      <c r="K5" s="4" t="s">
        <v>21</v>
      </c>
      <c r="L5" s="6">
        <v>0</v>
      </c>
      <c r="M5" s="6">
        <v>1</v>
      </c>
      <c r="N5" s="6">
        <v>0</v>
      </c>
      <c r="O5" s="4"/>
      <c r="P5" s="4"/>
      <c r="Q5" s="4"/>
      <c r="R5" s="4"/>
    </row>
    <row r="6" spans="1:18">
      <c r="A6" s="3" t="str">
        <f t="shared" si="0"/>
        <v>houston (corporate)_constellation_45627</v>
      </c>
      <c r="B6" s="4" t="s">
        <v>18</v>
      </c>
      <c r="C6" s="4" t="s">
        <v>39</v>
      </c>
      <c r="D6" s="4" t="s">
        <v>40</v>
      </c>
      <c r="E6" s="4" t="s">
        <v>41</v>
      </c>
      <c r="F6" s="4" t="s">
        <v>43</v>
      </c>
      <c r="G6" s="4" t="s">
        <v>45</v>
      </c>
      <c r="H6" s="5">
        <v>45627</v>
      </c>
      <c r="I6" s="4" t="s">
        <v>19</v>
      </c>
      <c r="J6" s="4" t="s">
        <v>20</v>
      </c>
      <c r="K6" s="4" t="s">
        <v>21</v>
      </c>
      <c r="L6" s="6">
        <v>0</v>
      </c>
      <c r="M6" s="6">
        <v>1</v>
      </c>
      <c r="N6" s="6">
        <v>0</v>
      </c>
      <c r="O6" s="4"/>
      <c r="P6" s="4"/>
      <c r="Q6" s="4"/>
      <c r="R6" s="4"/>
    </row>
    <row r="7" spans="1:18" ht="28.5">
      <c r="A7" s="3" t="str">
        <f t="shared" si="0"/>
        <v>dubai (corporate)_dubai electricity &amp; water authority_45839</v>
      </c>
      <c r="B7" s="4" t="s">
        <v>18</v>
      </c>
      <c r="C7" s="4" t="s">
        <v>39</v>
      </c>
      <c r="D7" s="4" t="s">
        <v>46</v>
      </c>
      <c r="E7" s="4" t="s">
        <v>47</v>
      </c>
      <c r="F7" s="4" t="s">
        <v>43</v>
      </c>
      <c r="G7" t="s">
        <v>48</v>
      </c>
      <c r="H7" s="5">
        <v>45839</v>
      </c>
      <c r="I7" s="4" t="s">
        <v>19</v>
      </c>
      <c r="J7" s="4" t="s">
        <v>20</v>
      </c>
      <c r="K7" s="4" t="s">
        <v>21</v>
      </c>
      <c r="L7" s="6">
        <v>0</v>
      </c>
      <c r="M7" s="6">
        <v>1</v>
      </c>
      <c r="N7" s="6">
        <v>0</v>
      </c>
      <c r="O7" s="4"/>
      <c r="P7" s="4"/>
      <c r="Q7" s="4"/>
      <c r="R7" s="4"/>
    </row>
    <row r="8" spans="1:18">
      <c r="A8" s="3" t="str">
        <f t="shared" si="0"/>
        <v>quilmas_endesa energía, s.a.u._45748</v>
      </c>
      <c r="B8" s="4" t="s">
        <v>18</v>
      </c>
      <c r="C8" s="4" t="s">
        <v>30</v>
      </c>
      <c r="D8" s="4" t="s">
        <v>31</v>
      </c>
      <c r="E8" s="4" t="s">
        <v>34</v>
      </c>
      <c r="F8" s="4" t="s">
        <v>30</v>
      </c>
      <c r="G8" s="4" t="s">
        <v>35</v>
      </c>
      <c r="H8" s="5">
        <v>45748</v>
      </c>
      <c r="I8" s="4" t="s">
        <v>19</v>
      </c>
      <c r="J8" s="4" t="s">
        <v>20</v>
      </c>
      <c r="K8" s="4" t="s">
        <v>21</v>
      </c>
      <c r="L8" s="6">
        <v>0.29399999999999998</v>
      </c>
      <c r="M8" s="6">
        <v>0.50700000000000001</v>
      </c>
      <c r="N8" s="6">
        <v>0.19900000000000001</v>
      </c>
      <c r="O8" s="4"/>
      <c r="P8" s="4"/>
      <c r="Q8" s="4"/>
      <c r="R8" s="4"/>
    </row>
    <row r="9" spans="1:18">
      <c r="A9" s="3" t="str">
        <f t="shared" si="0"/>
        <v>quilmas_endesa energía, s.a.u._45717</v>
      </c>
      <c r="B9" s="4" t="s">
        <v>18</v>
      </c>
      <c r="C9" s="4" t="s">
        <v>30</v>
      </c>
      <c r="D9" s="4" t="s">
        <v>31</v>
      </c>
      <c r="E9" s="4" t="s">
        <v>34</v>
      </c>
      <c r="F9" s="4" t="s">
        <v>30</v>
      </c>
      <c r="G9" s="4" t="s">
        <v>35</v>
      </c>
      <c r="H9" s="5">
        <v>45717</v>
      </c>
      <c r="I9" s="4" t="s">
        <v>19</v>
      </c>
      <c r="J9" s="4" t="s">
        <v>20</v>
      </c>
      <c r="K9" s="4" t="s">
        <v>21</v>
      </c>
      <c r="L9" s="6">
        <v>0.29399999999999998</v>
      </c>
      <c r="M9" s="6">
        <v>0.50700000000000001</v>
      </c>
      <c r="N9" s="6">
        <v>0.19900000000000001</v>
      </c>
      <c r="O9" s="4"/>
      <c r="P9" s="4"/>
      <c r="Q9" s="4"/>
      <c r="R9" s="4"/>
    </row>
    <row r="10" spans="1:18">
      <c r="A10" s="3" t="str">
        <f t="shared" si="0"/>
        <v>quilmas_endesa energía, s.a.u._45689</v>
      </c>
      <c r="B10" s="4" t="s">
        <v>18</v>
      </c>
      <c r="C10" s="4" t="s">
        <v>30</v>
      </c>
      <c r="D10" s="4" t="s">
        <v>31</v>
      </c>
      <c r="E10" s="4" t="s">
        <v>34</v>
      </c>
      <c r="F10" s="4" t="s">
        <v>30</v>
      </c>
      <c r="G10" s="4" t="s">
        <v>35</v>
      </c>
      <c r="H10" s="5">
        <v>45689</v>
      </c>
      <c r="I10" s="4" t="s">
        <v>19</v>
      </c>
      <c r="J10" s="4" t="s">
        <v>20</v>
      </c>
      <c r="K10" s="4" t="s">
        <v>21</v>
      </c>
      <c r="L10" s="6">
        <v>0.29399999999999998</v>
      </c>
      <c r="M10" s="6">
        <v>0.50700000000000001</v>
      </c>
      <c r="N10" s="6">
        <v>0.19900000000000001</v>
      </c>
      <c r="O10" s="4"/>
      <c r="P10" s="4"/>
      <c r="Q10" s="4"/>
      <c r="R10" s="4"/>
    </row>
    <row r="11" spans="1:18" ht="28.5">
      <c r="A11" s="3" t="str">
        <f t="shared" si="0"/>
        <v>dubai (corporate)_dubai electricity &amp; water authority_45839</v>
      </c>
      <c r="B11" s="4" t="s">
        <v>18</v>
      </c>
      <c r="C11" s="4" t="s">
        <v>39</v>
      </c>
      <c r="D11" s="4" t="s">
        <v>46</v>
      </c>
      <c r="E11" s="4" t="s">
        <v>47</v>
      </c>
      <c r="F11" s="4" t="s">
        <v>43</v>
      </c>
      <c r="G11" t="s">
        <v>48</v>
      </c>
      <c r="H11" s="5">
        <v>45839</v>
      </c>
      <c r="I11" s="4" t="s">
        <v>19</v>
      </c>
      <c r="J11" s="4" t="s">
        <v>20</v>
      </c>
      <c r="K11" s="4" t="s">
        <v>21</v>
      </c>
      <c r="L11" s="6">
        <v>0</v>
      </c>
      <c r="M11" s="6">
        <v>1</v>
      </c>
      <c r="N11" s="6">
        <v>0</v>
      </c>
      <c r="O11" s="4"/>
      <c r="P11" s="4"/>
      <c r="Q11" s="4"/>
      <c r="R11" s="4"/>
    </row>
    <row r="12" spans="1:18">
      <c r="A12" s="3" t="str">
        <f t="shared" si="0"/>
        <v>oslo (corporate)_fjordkraft bedrift_45839</v>
      </c>
      <c r="B12" s="4" t="s">
        <v>18</v>
      </c>
      <c r="C12" s="4" t="s">
        <v>39</v>
      </c>
      <c r="D12" s="4" t="s">
        <v>49</v>
      </c>
      <c r="E12" s="4" t="s">
        <v>50</v>
      </c>
      <c r="F12" s="4" t="s">
        <v>43</v>
      </c>
      <c r="G12" s="4" t="s">
        <v>51</v>
      </c>
      <c r="H12" s="5">
        <v>45839</v>
      </c>
      <c r="I12" s="4" t="s">
        <v>19</v>
      </c>
      <c r="J12" s="4" t="s">
        <v>20</v>
      </c>
      <c r="K12" s="4" t="s">
        <v>21</v>
      </c>
      <c r="L12" s="6">
        <v>0</v>
      </c>
      <c r="M12" s="6">
        <v>1</v>
      </c>
      <c r="N12" s="6">
        <v>0</v>
      </c>
      <c r="O12" s="4"/>
      <c r="P12" s="4"/>
      <c r="Q12" s="4"/>
      <c r="R12" s="4"/>
    </row>
    <row r="13" spans="1:18">
      <c r="A13" s="3" t="str">
        <f t="shared" si="0"/>
        <v>oslo (corporate)_fjordkraft bedrift_45870</v>
      </c>
      <c r="B13" s="4" t="s">
        <v>18</v>
      </c>
      <c r="C13" s="4" t="s">
        <v>39</v>
      </c>
      <c r="D13" s="4" t="s">
        <v>49</v>
      </c>
      <c r="E13" s="4" t="s">
        <v>50</v>
      </c>
      <c r="F13" s="4" t="s">
        <v>43</v>
      </c>
      <c r="G13" s="4" t="s">
        <v>51</v>
      </c>
      <c r="H13" s="5">
        <v>45870</v>
      </c>
      <c r="I13" s="4" t="s">
        <v>19</v>
      </c>
      <c r="J13" s="4" t="s">
        <v>20</v>
      </c>
      <c r="K13" s="4" t="s">
        <v>21</v>
      </c>
      <c r="L13" s="6">
        <v>0</v>
      </c>
      <c r="M13" s="6">
        <v>1</v>
      </c>
      <c r="N13" s="6">
        <v>0</v>
      </c>
      <c r="O13" s="4"/>
      <c r="P13" s="4"/>
      <c r="Q13" s="4"/>
      <c r="R13" s="4"/>
    </row>
    <row r="14" spans="1:18">
      <c r="A14" s="3" t="str">
        <f t="shared" si="0"/>
        <v>oye_eramet norway as_45931</v>
      </c>
      <c r="B14" s="4" t="s">
        <v>18</v>
      </c>
      <c r="C14" s="4" t="s">
        <v>30</v>
      </c>
      <c r="D14" s="4" t="s">
        <v>52</v>
      </c>
      <c r="E14" s="4" t="s">
        <v>53</v>
      </c>
      <c r="F14" s="4" t="s">
        <v>30</v>
      </c>
      <c r="G14" s="4" t="s">
        <v>54</v>
      </c>
      <c r="H14" s="5">
        <v>45931</v>
      </c>
      <c r="I14" s="4" t="s">
        <v>19</v>
      </c>
      <c r="J14" s="4" t="s">
        <v>20</v>
      </c>
      <c r="K14" s="4" t="s">
        <v>21</v>
      </c>
      <c r="L14" s="6">
        <v>0</v>
      </c>
      <c r="M14" s="6">
        <v>1</v>
      </c>
      <c r="N14" s="6">
        <v>0</v>
      </c>
      <c r="O14" s="4"/>
      <c r="P14" s="4"/>
      <c r="Q14" s="4"/>
      <c r="R14" s="4"/>
    </row>
    <row r="15" spans="1:18">
      <c r="A15" s="3" t="str">
        <f t="shared" si="0"/>
        <v/>
      </c>
      <c r="B15" s="4"/>
      <c r="C15" s="4"/>
      <c r="D15" s="4"/>
      <c r="E15" s="4"/>
      <c r="F15" s="4"/>
      <c r="G15" s="4"/>
      <c r="H15" s="5"/>
      <c r="I15" s="4"/>
      <c r="J15" s="4"/>
      <c r="K15" s="4"/>
      <c r="L15" s="6"/>
      <c r="M15" s="6"/>
      <c r="N15" s="6"/>
      <c r="O15" s="4"/>
      <c r="P15" s="4"/>
      <c r="Q15" s="4"/>
      <c r="R15" s="4"/>
    </row>
    <row r="16" spans="1:18">
      <c r="A16" s="3" t="str">
        <f t="shared" si="0"/>
        <v/>
      </c>
      <c r="B16" s="4"/>
      <c r="C16" s="4"/>
      <c r="D16" s="4"/>
      <c r="E16" s="4"/>
      <c r="F16" s="4"/>
      <c r="G16" s="4"/>
      <c r="H16" s="5"/>
      <c r="I16" s="4"/>
      <c r="J16" s="4"/>
      <c r="K16" s="4"/>
      <c r="L16" s="6"/>
      <c r="M16" s="6"/>
      <c r="N16" s="6"/>
      <c r="O16" s="4"/>
      <c r="P16" s="4"/>
      <c r="Q16" s="4"/>
      <c r="R16" s="4"/>
    </row>
    <row r="17" spans="1:18">
      <c r="A17" s="3" t="str">
        <f t="shared" si="0"/>
        <v/>
      </c>
      <c r="B17" s="4"/>
      <c r="C17" s="4"/>
      <c r="D17" s="4"/>
      <c r="E17" s="4"/>
      <c r="F17" s="4"/>
      <c r="G17" s="4"/>
      <c r="H17" s="5"/>
      <c r="I17" s="4"/>
      <c r="J17" s="4"/>
      <c r="K17" s="4"/>
      <c r="L17" s="6"/>
      <c r="M17" s="6"/>
      <c r="N17" s="6"/>
      <c r="O17" s="4"/>
      <c r="P17" s="4"/>
      <c r="Q17" s="4"/>
      <c r="R17" s="4"/>
    </row>
    <row r="18" spans="1:18">
      <c r="A18" s="3" t="str">
        <f t="shared" si="0"/>
        <v/>
      </c>
      <c r="B18" s="4"/>
      <c r="C18" s="4"/>
      <c r="D18" s="4"/>
      <c r="E18" s="4"/>
      <c r="F18" s="4"/>
      <c r="G18" s="4"/>
      <c r="H18" s="5"/>
      <c r="I18" s="4"/>
      <c r="J18" s="4"/>
      <c r="K18" s="4"/>
      <c r="L18" s="6"/>
      <c r="M18" s="6"/>
      <c r="N18" s="6"/>
      <c r="O18" s="4"/>
      <c r="P18" s="4"/>
      <c r="Q18" s="4"/>
      <c r="R18" s="4"/>
    </row>
    <row r="19" spans="1:18">
      <c r="A19" s="3" t="str">
        <f t="shared" si="0"/>
        <v/>
      </c>
      <c r="B19" s="4"/>
      <c r="C19" s="4"/>
      <c r="D19" s="4"/>
      <c r="E19" s="4"/>
      <c r="F19" s="4"/>
      <c r="G19" s="4"/>
      <c r="H19" s="5"/>
      <c r="I19" s="4"/>
      <c r="J19" s="4"/>
      <c r="K19" s="4"/>
      <c r="L19" s="6"/>
      <c r="M19" s="6"/>
      <c r="N19" s="6"/>
      <c r="O19" s="4"/>
      <c r="P19" s="4"/>
      <c r="Q19" s="4"/>
      <c r="R19" s="4"/>
    </row>
    <row r="20" spans="1:18">
      <c r="A20" s="3" t="str">
        <f t="shared" si="0"/>
        <v/>
      </c>
      <c r="B20" s="4"/>
      <c r="C20" s="4"/>
      <c r="D20" s="4"/>
      <c r="E20" s="4"/>
      <c r="F20" s="4"/>
      <c r="G20" s="4"/>
      <c r="H20" s="5"/>
      <c r="I20" s="4"/>
      <c r="J20" s="4"/>
      <c r="K20" s="4"/>
      <c r="L20" s="6"/>
      <c r="M20" s="6"/>
      <c r="N20" s="6"/>
      <c r="O20" s="4"/>
      <c r="P20" s="4"/>
      <c r="Q20" s="4"/>
      <c r="R20" s="4"/>
    </row>
    <row r="21" spans="1:18">
      <c r="A21" s="3" t="str">
        <f t="shared" si="0"/>
        <v/>
      </c>
      <c r="B21" s="4"/>
      <c r="C21" s="4"/>
      <c r="D21" s="4"/>
      <c r="E21" s="4"/>
      <c r="F21" s="4"/>
      <c r="G21" s="4"/>
      <c r="H21" s="5"/>
      <c r="I21" s="4"/>
      <c r="J21" s="4"/>
      <c r="K21" s="4"/>
      <c r="L21" s="6"/>
      <c r="M21" s="6"/>
      <c r="N21" s="6"/>
      <c r="O21" s="4"/>
      <c r="P21" s="4"/>
      <c r="Q21" s="4"/>
      <c r="R21" s="4"/>
    </row>
    <row r="22" spans="1:18">
      <c r="A22" s="3" t="str">
        <f t="shared" si="0"/>
        <v/>
      </c>
      <c r="B22" s="4"/>
      <c r="C22" s="4"/>
      <c r="D22" s="4"/>
      <c r="E22" s="4"/>
      <c r="F22" s="4"/>
      <c r="G22" s="4"/>
      <c r="H22" s="5"/>
      <c r="I22" s="4"/>
      <c r="J22" s="4"/>
      <c r="K22" s="4"/>
      <c r="L22" s="6"/>
      <c r="M22" s="6"/>
      <c r="N22" s="6"/>
      <c r="O22" s="4"/>
      <c r="P22" s="4"/>
      <c r="Q22" s="4"/>
      <c r="R22" s="4"/>
    </row>
    <row r="23" spans="1:18">
      <c r="A23" s="3" t="str">
        <f t="shared" si="0"/>
        <v/>
      </c>
      <c r="B23" s="4"/>
      <c r="C23" s="4"/>
      <c r="D23" s="4"/>
      <c r="E23" s="4"/>
      <c r="F23" s="4"/>
      <c r="G23" s="4"/>
      <c r="H23" s="5"/>
      <c r="I23" s="4"/>
      <c r="J23" s="4"/>
      <c r="K23" s="4"/>
      <c r="L23" s="6"/>
      <c r="M23" s="6"/>
      <c r="N23" s="6"/>
      <c r="O23" s="4"/>
      <c r="P23" s="4"/>
      <c r="Q23" s="4"/>
      <c r="R23" s="4"/>
    </row>
    <row r="24" spans="1:18">
      <c r="A24" s="3" t="str">
        <f t="shared" si="0"/>
        <v/>
      </c>
      <c r="B24" s="4"/>
      <c r="C24" s="4"/>
      <c r="D24" s="4"/>
      <c r="E24" s="4"/>
      <c r="F24" s="4"/>
      <c r="G24" s="4"/>
      <c r="H24" s="5"/>
      <c r="I24" s="4"/>
      <c r="J24" s="4"/>
      <c r="K24" s="4"/>
      <c r="L24" s="6"/>
      <c r="M24" s="6"/>
      <c r="N24" s="6"/>
      <c r="O24" s="4"/>
      <c r="P24" s="4"/>
      <c r="Q24" s="4"/>
      <c r="R24" s="4"/>
    </row>
    <row r="25" spans="1:18">
      <c r="A25" s="3" t="str">
        <f t="shared" si="0"/>
        <v/>
      </c>
      <c r="B25" s="4"/>
      <c r="C25" s="4"/>
      <c r="D25" s="4"/>
      <c r="E25" s="4"/>
      <c r="F25" s="4"/>
      <c r="G25" s="4"/>
      <c r="H25" s="5"/>
      <c r="I25" s="4"/>
      <c r="J25" s="4"/>
      <c r="K25" s="4"/>
      <c r="L25" s="6"/>
      <c r="M25" s="6"/>
      <c r="N25" s="6"/>
      <c r="O25" s="4"/>
      <c r="P25" s="4"/>
      <c r="Q25" s="4"/>
      <c r="R25" s="4"/>
    </row>
  </sheetData>
  <dataValidations count="1">
    <dataValidation type="list" sqref="B2:B25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showGridLines="0" workbookViewId="0"/>
  </sheetViews>
  <sheetFormatPr defaultRowHeight="14.25"/>
  <cols>
    <col min="1" max="1" width="28" customWidth="1"/>
    <col min="2" max="2" width="46" customWidth="1"/>
    <col min="3" max="3" width="62" customWidth="1"/>
    <col min="4" max="4" width="68" customWidth="1"/>
  </cols>
  <sheetData>
    <row r="1" spans="1:4" ht="15">
      <c r="A1" s="1" t="s">
        <v>22</v>
      </c>
      <c r="B1" s="1" t="s">
        <v>23</v>
      </c>
      <c r="C1" s="1" t="s">
        <v>24</v>
      </c>
      <c r="D1" s="1" t="s">
        <v>25</v>
      </c>
    </row>
    <row r="2" spans="1:4" ht="28.5">
      <c r="A2" s="7" t="s">
        <v>26</v>
      </c>
      <c r="B2" s="7" t="s">
        <v>27</v>
      </c>
      <c r="C2" s="7" t="s">
        <v>28</v>
      </c>
      <c r="D2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energy_source_allocation</vt:lpstr>
      <vt:lpstr>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Aquino</cp:lastModifiedBy>
  <dcterms:modified xsi:type="dcterms:W3CDTF">2026-06-30T05:25:00Z</dcterms:modified>
</cp:coreProperties>
</file>